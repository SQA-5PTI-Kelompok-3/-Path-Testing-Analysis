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Nilai Akhir" sheetId="1" r:id="rId4"/>
    <sheet state="visible" name="Test Case" sheetId="2" r:id="rId5"/>
    <sheet state="visible" name="Algoritma" sheetId="3" r:id="rId6"/>
  </sheets>
  <definedNames/>
  <calcPr/>
  <extLst>
    <ext uri="GoogleSheetsCustomDataVersion2">
      <go:sheetsCustomData xmlns:go="http://customooxmlschemas.google.com/" r:id="rId7" roundtripDataChecksum="HR8QXbDB/a3O2+HFiFhdr5vnpQZARGiQGRAyvoHT350="/>
    </ext>
  </extLst>
</workbook>
</file>

<file path=xl/sharedStrings.xml><?xml version="1.0" encoding="utf-8"?>
<sst xmlns="http://schemas.openxmlformats.org/spreadsheetml/2006/main" count="28" uniqueCount="26">
  <si>
    <t>No</t>
  </si>
  <si>
    <t>ALGORITMA PROGRAM</t>
  </si>
  <si>
    <t>PROGRAM PERHITUNGAN NILAI AKHIR MAHASISWA UIN JAKARTA</t>
  </si>
  <si>
    <t>Tugas</t>
  </si>
  <si>
    <t>UTS</t>
  </si>
  <si>
    <t>UAS</t>
  </si>
  <si>
    <t>Nilai Akhir</t>
  </si>
  <si>
    <t>Grade</t>
  </si>
  <si>
    <t>1. Masukkan nilai Tugas, UTS, dan UAS</t>
  </si>
  <si>
    <t>INPUT NILAI</t>
  </si>
  <si>
    <t>Nilai Tugas/Formative (20%)</t>
  </si>
  <si>
    <t>2. Hitung Nilai Akhir = 20% Tugas + 30% UTS + 50% UAS</t>
  </si>
  <si>
    <t>Nilai UTS (30%)</t>
  </si>
  <si>
    <t>Nilai UAS (50%)</t>
  </si>
  <si>
    <t>3. Jika Nilai Akhir &gt;=80 maka Grade A</t>
  </si>
  <si>
    <t>4. Jika Nilai Akhir &gt;=70 maka Grade B</t>
  </si>
  <si>
    <t>PROSES PERHITUNGAN</t>
  </si>
  <si>
    <t>Bobot Tugas</t>
  </si>
  <si>
    <t>5. Jika Nilai Akhir &gt;=60 maka Grade C</t>
  </si>
  <si>
    <t>Bobot UTS</t>
  </si>
  <si>
    <t>6. Jika Nilai Akhir &gt;=50 maka Grade D</t>
  </si>
  <si>
    <t>Bobot UAS</t>
  </si>
  <si>
    <t>7. Selain itu Grade E</t>
  </si>
  <si>
    <t>8. Tampilkan Nilai Akhir dan Grade</t>
  </si>
  <si>
    <t>KATEGORI NILAI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</si>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</sst>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0.0"/>
    <col customWidth="1" min="3" max="26" width="8.71"/>
  </cols>
  <sheetData>
    <row r="1">
      <c r="A1" s="3" t="s">
        <v>2</v>
      </c>
      <c r="B1" s="4"/>
    </row>
    <row r="2">
      <c r="A2" s="6"/>
      <c r="B2" s="6"/>
    </row>
    <row r="3">
      <c r="A3" s="6" t="s">
        <v>9</v>
      </c>
      <c r="B3" s="6"/>
    </row>
    <row r="4">
      <c r="A4" s="6" t="s">
        <v>10</v>
      </c>
      <c r="B4" s="6">
        <v>90.0</v>
      </c>
    </row>
    <row r="5">
      <c r="A5" s="6" t="s">
        <v>12</v>
      </c>
      <c r="B5" s="6">
        <v>85.0</v>
      </c>
    </row>
    <row r="6">
      <c r="A6" s="6" t="s">
        <v>13</v>
      </c>
      <c r="B6" s="6">
        <v>90.0</v>
      </c>
    </row>
    <row r="7">
      <c r="A7" s="6"/>
      <c r="B7" s="6"/>
    </row>
    <row r="8">
      <c r="A8" s="6" t="s">
        <v>16</v>
      </c>
      <c r="B8" s="6"/>
    </row>
    <row r="9">
      <c r="A9" s="6" t="s">
        <v>17</v>
      </c>
      <c r="B9" s="6">
        <v>0.2</v>
      </c>
    </row>
    <row r="10">
      <c r="A10" s="6" t="s">
        <v>19</v>
      </c>
      <c r="B10" s="6">
        <v>0.3</v>
      </c>
    </row>
    <row r="11">
      <c r="A11" s="6" t="s">
        <v>21</v>
      </c>
      <c r="B11" s="6">
        <v>0.5</v>
      </c>
    </row>
    <row r="12">
      <c r="A12" s="6" t="s">
        <v>6</v>
      </c>
      <c r="B12" s="6">
        <f>B4*B9+B5*B10+B6*B11</f>
        <v>88.5</v>
      </c>
    </row>
    <row r="13">
      <c r="A13" s="6"/>
      <c r="B13" s="6"/>
    </row>
    <row r="14">
      <c r="A14" s="6" t="s">
        <v>24</v>
      </c>
      <c r="B14" s="6"/>
    </row>
    <row r="15">
      <c r="A15" s="6" t="s">
        <v>7</v>
      </c>
      <c r="B15" s="6" t="str">
        <f>IF(B12&gt;=80,"A",IF(B12&gt;=70,"B",IF(B12&gt;=60,"C",IF(B12&gt;=50,"D","E"))))</f>
        <v>A</v>
      </c>
    </row>
    <row r="16">
      <c r="A16" s="6" t="s">
        <v>25</v>
      </c>
      <c r="B16" s="6" t="str">
        <f>IF(B15="A","Sangat Baik",IF(B15="B","Baik",IF(B15="C","Cukup",IF(B15="D","Kurang","Perlu Perbaikan"))))</f>
        <v>Sangat Baik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0.0"/>
    <col customWidth="1" min="3" max="4" width="8.0"/>
    <col customWidth="1" min="5" max="5" width="26.0"/>
    <col customWidth="1" min="6" max="6" width="40.0"/>
    <col customWidth="1" min="7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5">
        <v>1.0</v>
      </c>
      <c r="B2" s="5">
        <v>90.0</v>
      </c>
      <c r="C2" s="5">
        <v>85.0</v>
      </c>
      <c r="D2" s="5">
        <v>90.0</v>
      </c>
      <c r="E2" s="5">
        <f t="shared" ref="E2:E6" si="1">B2*20%+C2*30%+D2*50%</f>
        <v>88.5</v>
      </c>
      <c r="F2" s="5" t="str">
        <f t="shared" ref="F2:F6" si="2">IF(E2&gt;=80,"A",IF(E2&gt;=70,"B",IF(E2&gt;=60,"C",IF(E2&gt;=50,"D","E"))))</f>
        <v>A</v>
      </c>
    </row>
    <row r="3">
      <c r="A3" s="5">
        <v>2.0</v>
      </c>
      <c r="B3" s="5">
        <v>75.0</v>
      </c>
      <c r="C3" s="5">
        <v>75.0</v>
      </c>
      <c r="D3" s="5">
        <v>75.0</v>
      </c>
      <c r="E3" s="5">
        <f t="shared" si="1"/>
        <v>75</v>
      </c>
      <c r="F3" s="5" t="str">
        <f t="shared" si="2"/>
        <v>B</v>
      </c>
    </row>
    <row r="4">
      <c r="A4" s="5">
        <v>3.0</v>
      </c>
      <c r="B4" s="5">
        <v>65.0</v>
      </c>
      <c r="C4" s="5">
        <v>65.0</v>
      </c>
      <c r="D4" s="5">
        <v>65.0</v>
      </c>
      <c r="E4" s="5">
        <f t="shared" si="1"/>
        <v>65</v>
      </c>
      <c r="F4" s="5" t="str">
        <f t="shared" si="2"/>
        <v>C</v>
      </c>
    </row>
    <row r="5">
      <c r="A5" s="5">
        <v>4.0</v>
      </c>
      <c r="B5" s="5">
        <v>55.0</v>
      </c>
      <c r="C5" s="5">
        <v>55.0</v>
      </c>
      <c r="D5" s="5">
        <v>55.0</v>
      </c>
      <c r="E5" s="5">
        <f t="shared" si="1"/>
        <v>55</v>
      </c>
      <c r="F5" s="5" t="str">
        <f t="shared" si="2"/>
        <v>D</v>
      </c>
    </row>
    <row r="6">
      <c r="A6" s="5">
        <v>5.0</v>
      </c>
      <c r="B6" s="5">
        <v>40.0</v>
      </c>
      <c r="C6" s="5">
        <v>40.0</v>
      </c>
      <c r="D6" s="5">
        <v>40.0</v>
      </c>
      <c r="E6" s="5">
        <f t="shared" si="1"/>
        <v>40</v>
      </c>
      <c r="F6" s="5" t="str">
        <f t="shared" si="2"/>
        <v>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6" width="8.71"/>
  </cols>
  <sheetData>
    <row r="1">
      <c r="A1" s="2" t="s">
        <v>1</v>
      </c>
    </row>
    <row r="2">
      <c r="A2" s="6" t="s">
        <v>8</v>
      </c>
    </row>
    <row r="3">
      <c r="A3" s="6" t="s">
        <v>11</v>
      </c>
    </row>
    <row r="4">
      <c r="A4" s="6" t="s">
        <v>14</v>
      </c>
    </row>
    <row r="5">
      <c r="A5" s="6" t="s">
        <v>15</v>
      </c>
    </row>
    <row r="6">
      <c r="A6" s="6" t="s">
        <v>18</v>
      </c>
    </row>
    <row r="7">
      <c r="A7" s="6" t="s">
        <v>20</v>
      </c>
    </row>
    <row r="8">
      <c r="A8" s="6" t="s">
        <v>22</v>
      </c>
    </row>
    <row r="9">
      <c r="A9" s="6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2026-09-22T02:30:38Z</dcterms:created>
  <dc:creator>openpyxl</dc:creator>
</cp:coreProperties>
</file>